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ebsite\sac_data2\doc\"/>
    </mc:Choice>
  </mc:AlternateContent>
  <xr:revisionPtr revIDLastSave="0" documentId="13_ncr:1_{F83659A7-935F-4F75-945E-FC009C6BD152}" xr6:coauthVersionLast="47" xr6:coauthVersionMax="47" xr10:uidLastSave="{00000000-0000-0000-0000-000000000000}"/>
  <bookViews>
    <workbookView xWindow="-120" yWindow="-120" windowWidth="29040" windowHeight="15720" xr2:uid="{EFC5116B-BB44-4045-A34F-95BB888AA0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P5" i="1" l="1"/>
  <c r="P4" i="1"/>
  <c r="P3" i="1"/>
  <c r="P2" i="1"/>
  <c r="T3" i="1" l="1"/>
  <c r="S3" i="1"/>
  <c r="S5" i="1"/>
  <c r="T5" i="1"/>
  <c r="T4" i="1"/>
  <c r="S4" i="1"/>
  <c r="T2" i="1"/>
  <c r="S2" i="1"/>
</calcChain>
</file>

<file path=xl/sharedStrings.xml><?xml version="1.0" encoding="utf-8"?>
<sst xmlns="http://schemas.openxmlformats.org/spreadsheetml/2006/main" count="57" uniqueCount="44">
  <si>
    <t>รหัสลูกค้า</t>
  </si>
  <si>
    <t>รายชื่อลูกค้า</t>
  </si>
  <si>
    <t>เซลล์</t>
  </si>
  <si>
    <t>เทค</t>
  </si>
  <si>
    <t>อำเภอ</t>
  </si>
  <si>
    <t>จังหวัด</t>
  </si>
  <si>
    <t>ยี่ห้อ</t>
  </si>
  <si>
    <t>รหัสสินค้า 1</t>
  </si>
  <si>
    <t>รายละเอียด</t>
  </si>
  <si>
    <t>เฉลี่ยต่อเดือน ปี2025</t>
  </si>
  <si>
    <t>ยอดขายสูงสุดต่อเดือน(Y25)</t>
  </si>
  <si>
    <t>ยอดขายต่ำสุดต่อเดือน(Y25)</t>
  </si>
  <si>
    <t>เมษายน'26</t>
  </si>
  <si>
    <t>พฤษภาคม'26</t>
  </si>
  <si>
    <t>มิถุนายน'26</t>
  </si>
  <si>
    <t>ค่าเฉลี่ย 3 เดือน</t>
  </si>
  <si>
    <t>เป้ารายเดือน</t>
  </si>
  <si>
    <t>แพลนยาง ก.ค.'26</t>
  </si>
  <si>
    <t>เทียบ แพลนยาง ลบ ค่าเฉลี่ย</t>
  </si>
  <si>
    <t>เทียบ แพลนยาง ลบ ค่าเฉลี่ย %</t>
  </si>
  <si>
    <t>CP-000003169</t>
  </si>
  <si>
    <t>คุณเมธี มากรุ่ง(เมย์)</t>
  </si>
  <si>
    <t>เลอสันต์ (เอ)</t>
  </si>
  <si>
    <t>พีรดาวส์ (ดาว)</t>
  </si>
  <si>
    <t>อ.บางบัวทอง</t>
  </si>
  <si>
    <t>จ.นนทบุรี</t>
  </si>
  <si>
    <t>LLIT</t>
  </si>
  <si>
    <t>LLIT2657016-CW/AT2</t>
  </si>
  <si>
    <t>265/70R16 CW AT-2 116Q XL LL (HB) ECE POR WL DCH PCI P-trial</t>
  </si>
  <si>
    <t>CP-14022</t>
  </si>
  <si>
    <t>บริษัท เวิร์ค เทค เอ็นจิเนียริง จำกัด (สำนักงานใหญ่)</t>
  </si>
  <si>
    <t>จักรพงษ์ (บ๋อม)</t>
  </si>
  <si>
    <t>อังศนา (เดียร์)</t>
  </si>
  <si>
    <t>เขตหนองจอก</t>
  </si>
  <si>
    <t>จ.กรุงเทพ</t>
  </si>
  <si>
    <t>GT</t>
  </si>
  <si>
    <t>GT2156516-GS07 HT</t>
  </si>
  <si>
    <t>215/65R16 98H GS-07 H/T B</t>
  </si>
  <si>
    <t>LEAO</t>
  </si>
  <si>
    <t>LE1856514-LISP/HP3</t>
  </si>
  <si>
    <t>185/65R14 LION SPORT HP3 86H LA (HB) PCI</t>
  </si>
  <si>
    <t>LE2156016-LISP/HP3</t>
  </si>
  <si>
    <t>215/60R16 LION SPORT HP3 95H LA PCI</t>
  </si>
  <si>
    <t>ผู้รับผิดชอบ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</si>
</sst>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" fillId="0" borderId="0"/>
  </cellStyleXfs>
  <cellXfs count="5">
    <xf numFmtId="0" fontId="0" fillId="0" borderId="0" xfId="0"/>
    <xf numFmtId="0" fontId="1" fillId="0" borderId="0" xfId="2"/>
    <xf numFmtId="1" fontId="1" fillId="0" borderId="0" xfId="2" applyNumberFormat="1"/>
    <xf numFmtId="9" fontId="1" fillId="0" borderId="0" xfId="1" applyFont="1"/>
    <xf numFmtId="0" fontId="1" fillId="0" borderId="0" xfId="2" applyFill="1"/>
  </cellXfs>
  <cellStyles count="3">
    <cellStyle name="Normal" xfId="0" builtinId="0"/>
    <cellStyle name="Normal 2" xfId="2" xr:uid="{7C959384-DBF6-4D7B-A601-D1030739C0B8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A6118-D2D7-4CFD-9092-CD8C744E60BD}">
  <dimension ref="A1:AG6"/>
  <sheetViews>
    <sheetView tabSelected="1" topLeftCell="N1" workbookViewId="0">
      <selection activeCell="U5" sqref="U5"/>
    </sheetView>
  </sheetViews>
  <sheetFormatPr defaultRowHeight="14.25" x14ac:dyDescent="0.2"/>
  <cols>
    <col min="1" max="1" width="12.75" customWidth="1"/>
    <col min="2" max="2" width="40.75" bestFit="1" customWidth="1"/>
    <col min="3" max="3" width="14.375" customWidth="1"/>
    <col min="4" max="4" width="13.875" customWidth="1"/>
    <col min="5" max="5" width="12.5" customWidth="1"/>
    <col min="6" max="6" width="11.875" customWidth="1"/>
    <col min="7" max="7" width="6.25" customWidth="1"/>
    <col min="8" max="8" width="19.5" bestFit="1" customWidth="1"/>
    <col min="9" max="9" width="57.625" bestFit="1" customWidth="1"/>
    <col min="10" max="10" width="17.125" bestFit="1" customWidth="1"/>
    <col min="11" max="12" width="23" bestFit="1" customWidth="1"/>
    <col min="13" max="13" width="9.5" bestFit="1" customWidth="1"/>
    <col min="14" max="14" width="11.375" bestFit="1" customWidth="1"/>
    <col min="15" max="15" width="9.75" bestFit="1" customWidth="1"/>
    <col min="16" max="16" width="13.25" bestFit="1" customWidth="1"/>
    <col min="17" max="17" width="10.25" bestFit="1" customWidth="1"/>
    <col min="18" max="18" width="15.125" bestFit="1" customWidth="1"/>
    <col min="19" max="19" width="23.25" bestFit="1" customWidth="1"/>
    <col min="20" max="20" width="25.875" bestFit="1" customWidth="1"/>
    <col min="21" max="21" width="11.25" customWidth="1"/>
  </cols>
  <sheetData>
    <row r="1" spans="1:3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4" t="s">
        <v>43</v>
      </c>
    </row>
    <row r="2" spans="1:33" x14ac:dyDescent="0.2">
      <c r="A2" s="1" t="s">
        <v>20</v>
      </c>
      <c r="B2" s="1" t="s">
        <v>21</v>
      </c>
      <c r="C2" s="1" t="s">
        <v>22</v>
      </c>
      <c r="D2" s="1" t="s">
        <v>23</v>
      </c>
      <c r="E2" s="1" t="s">
        <v>24</v>
      </c>
      <c r="F2" s="1" t="s">
        <v>25</v>
      </c>
      <c r="G2" s="1" t="s">
        <v>26</v>
      </c>
      <c r="H2" s="1" t="s">
        <v>27</v>
      </c>
      <c r="I2" s="1" t="s">
        <v>28</v>
      </c>
      <c r="J2" s="2">
        <v>0</v>
      </c>
      <c r="K2" s="2"/>
      <c r="L2" s="2"/>
      <c r="M2" s="1"/>
      <c r="N2" s="1"/>
      <c r="O2" s="1"/>
      <c r="P2" s="1">
        <f>IFERROR((AVERAGE(M2:O2)),0)</f>
        <v>0</v>
      </c>
      <c r="Q2" s="1">
        <v>0</v>
      </c>
      <c r="R2" s="1"/>
      <c r="S2" s="1">
        <f>R2-P2</f>
        <v>0</v>
      </c>
      <c r="T2" s="3">
        <f>IFERROR(R2/P2,0)</f>
        <v>0</v>
      </c>
      <c r="U2" s="2"/>
      <c r="V2" s="2"/>
      <c r="W2" s="1"/>
      <c r="X2" s="1"/>
      <c r="Y2" s="1"/>
      <c r="Z2" s="1"/>
      <c r="AA2" s="1"/>
      <c r="AB2" s="1"/>
      <c r="AC2" s="1"/>
      <c r="AD2" s="1"/>
      <c r="AE2" s="1"/>
      <c r="AF2" s="1"/>
      <c r="AG2" s="3"/>
    </row>
    <row r="3" spans="1:33" x14ac:dyDescent="0.2">
      <c r="A3" s="1" t="s">
        <v>29</v>
      </c>
      <c r="B3" s="1" t="s">
        <v>30</v>
      </c>
      <c r="C3" s="1" t="s">
        <v>31</v>
      </c>
      <c r="D3" s="1" t="s">
        <v>32</v>
      </c>
      <c r="E3" s="1" t="s">
        <v>33</v>
      </c>
      <c r="F3" s="1" t="s">
        <v>34</v>
      </c>
      <c r="G3" s="1" t="s">
        <v>35</v>
      </c>
      <c r="H3" s="1" t="s">
        <v>36</v>
      </c>
      <c r="I3" s="1" t="s">
        <v>37</v>
      </c>
      <c r="J3" s="2">
        <v>0</v>
      </c>
      <c r="K3" s="2">
        <v>0</v>
      </c>
      <c r="L3" s="2">
        <v>0</v>
      </c>
      <c r="M3" s="1"/>
      <c r="N3" s="1">
        <v>4</v>
      </c>
      <c r="O3" s="1"/>
      <c r="P3" s="1">
        <f>IFERROR((AVERAGE(M3:O3)),0)</f>
        <v>4</v>
      </c>
      <c r="Q3" s="1">
        <v>12</v>
      </c>
      <c r="R3" s="1">
        <v>8</v>
      </c>
      <c r="S3" s="1">
        <f>R3-P3</f>
        <v>4</v>
      </c>
      <c r="T3" s="3">
        <f>IFERROR(R3/P3,0)</f>
        <v>2</v>
      </c>
      <c r="U3" s="2"/>
      <c r="V3" s="2"/>
      <c r="W3" s="1"/>
      <c r="X3" s="1"/>
      <c r="Y3" s="1"/>
      <c r="Z3" s="1"/>
      <c r="AA3" s="1"/>
      <c r="AB3" s="1"/>
      <c r="AC3" s="1"/>
      <c r="AD3" s="1"/>
      <c r="AE3" s="1"/>
      <c r="AF3" s="1"/>
      <c r="AG3" s="3"/>
    </row>
    <row r="4" spans="1:33" x14ac:dyDescent="0.2">
      <c r="A4" s="1" t="s">
        <v>29</v>
      </c>
      <c r="B4" s="1" t="s">
        <v>30</v>
      </c>
      <c r="C4" s="1" t="s">
        <v>31</v>
      </c>
      <c r="D4" s="1" t="s">
        <v>32</v>
      </c>
      <c r="E4" s="1" t="s">
        <v>33</v>
      </c>
      <c r="F4" s="1" t="s">
        <v>34</v>
      </c>
      <c r="G4" s="1" t="s">
        <v>38</v>
      </c>
      <c r="H4" s="1" t="s">
        <v>39</v>
      </c>
      <c r="I4" s="1" t="s">
        <v>40</v>
      </c>
      <c r="J4" s="2">
        <v>0</v>
      </c>
      <c r="K4" s="2"/>
      <c r="L4" s="2"/>
      <c r="M4" s="1"/>
      <c r="N4" s="1"/>
      <c r="O4" s="1"/>
      <c r="P4" s="1">
        <f t="shared" ref="P4:P5" si="0">IFERROR((AVERAGE(M4:O4)),0)</f>
        <v>0</v>
      </c>
      <c r="Q4" s="1">
        <v>12</v>
      </c>
      <c r="R4" s="1"/>
      <c r="S4" s="1">
        <f t="shared" ref="S4:S5" si="1">R4-P4</f>
        <v>0</v>
      </c>
      <c r="T4" s="3">
        <f t="shared" ref="T4:T5" si="2">IFERROR(R4/P4,0)</f>
        <v>0</v>
      </c>
      <c r="U4" s="2"/>
      <c r="V4" s="2"/>
      <c r="W4" s="1"/>
      <c r="X4" s="1"/>
      <c r="Y4" s="1"/>
      <c r="Z4" s="1"/>
      <c r="AA4" s="1"/>
      <c r="AB4" s="1"/>
      <c r="AC4" s="1"/>
      <c r="AD4" s="1"/>
      <c r="AE4" s="1"/>
      <c r="AF4" s="1"/>
      <c r="AG4" s="3"/>
    </row>
    <row r="5" spans="1:33" x14ac:dyDescent="0.2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38</v>
      </c>
      <c r="H5" s="1" t="s">
        <v>41</v>
      </c>
      <c r="I5" s="1" t="s">
        <v>42</v>
      </c>
      <c r="J5" s="2">
        <v>0</v>
      </c>
      <c r="K5" s="2">
        <v>0</v>
      </c>
      <c r="L5" s="2">
        <v>0</v>
      </c>
      <c r="M5" s="1"/>
      <c r="N5" s="1"/>
      <c r="O5" s="1"/>
      <c r="P5" s="1">
        <f t="shared" si="0"/>
        <v>0</v>
      </c>
      <c r="Q5" s="1">
        <v>12</v>
      </c>
      <c r="R5" s="1"/>
      <c r="S5" s="1">
        <f t="shared" si="1"/>
        <v>0</v>
      </c>
      <c r="T5" s="3">
        <f t="shared" si="2"/>
        <v>0</v>
      </c>
      <c r="U5" s="2"/>
      <c r="V5" s="2"/>
      <c r="W5" s="1"/>
      <c r="X5" s="1"/>
      <c r="Y5" s="1"/>
      <c r="Z5" s="1"/>
      <c r="AA5" s="1"/>
      <c r="AB5" s="1"/>
      <c r="AC5" s="1"/>
      <c r="AD5" s="1"/>
      <c r="AE5" s="1"/>
      <c r="AF5" s="1"/>
      <c r="AG5" s="3"/>
    </row>
    <row r="6" spans="1:33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2"/>
      <c r="U6" s="2"/>
      <c r="V6" s="2"/>
      <c r="W6" s="1"/>
      <c r="X6" s="1"/>
      <c r="Y6" s="1"/>
      <c r="Z6" s="1"/>
      <c r="AA6" s="1"/>
      <c r="AB6" s="1"/>
      <c r="AC6" s="1"/>
      <c r="AD6" s="1"/>
      <c r="AE6" s="1"/>
      <c r="AF6" s="1"/>
      <c r="AG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PONGSAK PHAOTIP</dc:creator>
  <cp:lastModifiedBy>PONGSAK PHAOTIP</cp:lastModifiedBy>
  <dcterms:created xsi:type="dcterms:W3CDTF">2026-07-29T02:33:00Z</dcterms:created>
  <dcterms:modified xsi:type="dcterms:W3CDTF">2026-07-29T08:10:59Z</dcterms:modified>
</cp:coreProperties>
</file>