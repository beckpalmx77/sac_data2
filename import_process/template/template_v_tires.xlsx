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job\OCT26\"/>
    </mc:Choice>
  </mc:AlternateContent>
  <xr:revisionPtr revIDLastSave="0" documentId="13_ncr:1_{A4BAEAEE-82A5-4FDA-A80E-76F98B26E461}" xr6:coauthVersionLast="47" xr6:coauthVersionMax="47" xr10:uidLastSave="{00000000-0000-0000-0000-000000000000}"/>
  <bookViews>
    <workbookView xWindow="-108" yWindow="-108" windowWidth="23256" windowHeight="12456" xr2:uid="{EA2E10FE-C8C6-4F23-AD66-E2710DF0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7" i="1" l="1"/>
  <c r="P17" i="1"/>
  <c r="P16" i="1"/>
  <c r="Q16" i="1" s="1"/>
  <c r="P15" i="1"/>
  <c r="Q15" i="1" s="1"/>
  <c r="P14" i="1"/>
  <c r="Q14" i="1" s="1"/>
  <c r="P13" i="1"/>
  <c r="Q13" i="1" s="1"/>
  <c r="P12" i="1"/>
  <c r="Q12" i="1" s="1"/>
  <c r="Q11" i="1"/>
  <c r="P11" i="1"/>
  <c r="P10" i="1"/>
  <c r="Q10" i="1" s="1"/>
  <c r="P9" i="1"/>
  <c r="Q9" i="1" s="1"/>
  <c r="P8" i="1"/>
  <c r="Q8" i="1" s="1"/>
  <c r="P7" i="1"/>
  <c r="Q7" i="1" s="1"/>
  <c r="P6" i="1"/>
  <c r="Q6" i="1" s="1"/>
  <c r="Q5" i="1"/>
  <c r="P5" i="1"/>
  <c r="P4" i="1"/>
  <c r="Q4" i="1" s="1"/>
  <c r="P3" i="1"/>
  <c r="Q3" i="1" s="1"/>
  <c r="P2" i="1"/>
  <c r="Q2" i="1" s="1"/>
</calcChain>
</file>

<file path=xl/sharedStrings.xml><?xml version="1.0" encoding="utf-8"?>
<sst xmlns="http://schemas.openxmlformats.org/spreadsheetml/2006/main" count="116" uniqueCount="42">
  <si>
    <t>เซลล์</t>
  </si>
  <si>
    <t>เทค</t>
  </si>
  <si>
    <t>รายชื่อลูกค้า</t>
  </si>
  <si>
    <t>จังหวัด</t>
  </si>
  <si>
    <t>ประเภท</t>
  </si>
  <si>
    <t>รายละเอียด</t>
  </si>
  <si>
    <t>ยอดขายสูงสุดต่อเดือน 2026</t>
  </si>
  <si>
    <t>ยอดขายต่ำสุดต่อเดือน 2026</t>
  </si>
  <si>
    <t>กรกฎาคม'26</t>
  </si>
  <si>
    <t>สิงหาคม'26</t>
  </si>
  <si>
    <t>กันยายน'26</t>
  </si>
  <si>
    <t>ค่าเฉลี่ย 3 เดือน</t>
  </si>
  <si>
    <t>แพลนยางเดือนที่ต้องการ</t>
  </si>
  <si>
    <t>เทียบ แพลนยาง ลบ ค่าเฉลี่ย</t>
  </si>
  <si>
    <t>เทียบ แพลนยาง ลบ ค่าเฉลี่ย %</t>
  </si>
  <si>
    <t>ผู้รับผิดชอบ</t>
  </si>
  <si>
    <t>พริมณภัทร์ (ภัทร์)</t>
  </si>
  <si>
    <t>พัชรมณฑ์ (เอ)</t>
  </si>
  <si>
    <t>คุณจักรพงค์  ชัยถาวรกิจ (ร้าน SK ไทร์เซอร์วิส 2014)</t>
  </si>
  <si>
    <t>จ.สระแก้ว</t>
  </si>
  <si>
    <t>TBR/LTR (ยางใหญ่)</t>
  </si>
  <si>
    <t>11R22.5 16PR AT08cc 146/143K AT</t>
  </si>
  <si>
    <t>11R22.5 18PR KTT308 149/146K AT</t>
  </si>
  <si>
    <t>9.5R17.5 18PR AP09II 143/141M AT</t>
  </si>
  <si>
    <t>LSR</t>
  </si>
  <si>
    <t>7.00R16LT 117/116N 12PR BS VS RIB R200</t>
  </si>
  <si>
    <t>7.50R16 122/120L 14PR BS V-STEEL RIBR156</t>
  </si>
  <si>
    <t>TBB/LTB (ยางผ้าใบ)</t>
  </si>
  <si>
    <t>1000-20 16PR.LUG VT-101 (ล้อหลัง)</t>
  </si>
  <si>
    <t>1000-20 16PR RIB VT-113 (ล้อหน้า)</t>
  </si>
  <si>
    <t>650-14-8PR.LUG KKK VT-101 (หลัง)</t>
  </si>
  <si>
    <t>650-14-8PR.RIB KKK VT-102 (หน้า)</t>
  </si>
  <si>
    <t>700-15-12PR.RIB VT102 (ล้อหน้า)</t>
  </si>
  <si>
    <t>700-16-12PR.RIB VT102 (ล้อหน้า)</t>
  </si>
  <si>
    <t>750-15-12PR.LUG VT101 (หลัง)</t>
  </si>
  <si>
    <t>750-15-12PR.RIB VT102 (หน้า)</t>
  </si>
  <si>
    <t>750-16-14PR.RIB VT102 (ล้อหน้า)</t>
  </si>
  <si>
    <t>825-16-14PR.LUG VT-101 (ล้อหลัง)</t>
  </si>
  <si>
    <t>825-16-14PR.RIB VT116 (ล้อหน้า)</t>
  </si>
  <si>
    <t>รหัสสินค้า</t>
  </si>
  <si>
    <t>ยี่ห้อ</t>
  </si>
  <si>
    <t>ใส่สูตรแล้วครับ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</si>
</sst>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0" fontId="1" fillId="4" borderId="1" xfId="1" applyNumberFormat="1" applyFont="1" applyFill="1" applyBorder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07D9-AFE7-41CE-9021-9F850A3C1CEC}">
  <dimension ref="A1:R18"/>
  <sheetViews>
    <sheetView tabSelected="1" workbookViewId="0">
      <selection activeCell="P18" sqref="P18:Q18"/>
    </sheetView>
  </sheetViews>
  <sheetFormatPr defaultRowHeight="16.8" x14ac:dyDescent="0.4"/>
  <cols>
    <col min="1" max="1" width="14.5" bestFit="1" customWidth="1"/>
    <col min="2" max="2" width="12.19921875" bestFit="1" customWidth="1"/>
    <col min="3" max="3" width="41.8984375" bestFit="1" customWidth="1"/>
    <col min="4" max="4" width="8.3984375" bestFit="1" customWidth="1"/>
    <col min="5" max="5" width="17.59765625" bestFit="1" customWidth="1"/>
    <col min="6" max="6" width="15.59765625" customWidth="1"/>
    <col min="7" max="7" width="39.5" bestFit="1" customWidth="1"/>
    <col min="8" max="8" width="11.19921875" customWidth="1"/>
    <col min="9" max="9" width="25.59765625" customWidth="1"/>
    <col min="10" max="10" width="26.59765625" customWidth="1"/>
    <col min="11" max="11" width="15.69921875" customWidth="1"/>
    <col min="12" max="13" width="18.09765625" customWidth="1"/>
    <col min="14" max="14" width="13.19921875" customWidth="1"/>
    <col min="15" max="15" width="19.59765625" customWidth="1"/>
    <col min="16" max="16" width="28.69921875" customWidth="1"/>
    <col min="17" max="17" width="17.5" customWidth="1"/>
    <col min="18" max="18" width="11.69921875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  <c r="G1" s="1" t="s">
        <v>5</v>
      </c>
      <c r="H1" s="1" t="s">
        <v>40</v>
      </c>
      <c r="I1" s="2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4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3"/>
      <c r="G2" s="1" t="s">
        <v>21</v>
      </c>
      <c r="H2" s="3"/>
      <c r="I2" s="1">
        <v>0</v>
      </c>
      <c r="J2" s="1">
        <v>0</v>
      </c>
      <c r="K2" s="1">
        <v>4</v>
      </c>
      <c r="L2" s="1">
        <v>0</v>
      </c>
      <c r="M2" s="1">
        <v>4</v>
      </c>
      <c r="N2" s="1">
        <v>2.67</v>
      </c>
      <c r="O2" s="2"/>
      <c r="P2" s="4">
        <f>O2-N2</f>
        <v>-2.67</v>
      </c>
      <c r="Q2" s="5">
        <f>P2/N2</f>
        <v>-1</v>
      </c>
      <c r="R2" s="2"/>
    </row>
    <row r="3" spans="1:18" x14ac:dyDescent="0.4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3"/>
      <c r="G3" s="1" t="s">
        <v>22</v>
      </c>
      <c r="H3" s="3"/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0.33</v>
      </c>
      <c r="O3" s="2"/>
      <c r="P3" s="4">
        <f t="shared" ref="P3:P17" si="0">O3-N3</f>
        <v>-0.33</v>
      </c>
      <c r="Q3" s="5">
        <f t="shared" ref="Q3:Q17" si="1">P3/N3</f>
        <v>-1</v>
      </c>
      <c r="R3" s="2"/>
    </row>
    <row r="4" spans="1:18" x14ac:dyDescent="0.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3"/>
      <c r="G4" s="1" t="s">
        <v>23</v>
      </c>
      <c r="H4" s="3"/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2"/>
      <c r="P4" s="4">
        <f t="shared" si="0"/>
        <v>0</v>
      </c>
      <c r="Q4" s="5" t="e">
        <f t="shared" si="1"/>
        <v>#DIV/0!</v>
      </c>
      <c r="R4" s="2"/>
    </row>
    <row r="5" spans="1:18" x14ac:dyDescent="0.4">
      <c r="A5" s="1" t="s">
        <v>16</v>
      </c>
      <c r="B5" s="1" t="s">
        <v>17</v>
      </c>
      <c r="C5" s="1" t="s">
        <v>18</v>
      </c>
      <c r="D5" s="1" t="s">
        <v>19</v>
      </c>
      <c r="E5" s="1" t="s">
        <v>24</v>
      </c>
      <c r="F5" s="3"/>
      <c r="G5" s="1" t="s">
        <v>25</v>
      </c>
      <c r="H5" s="3"/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2"/>
      <c r="P5" s="4">
        <f t="shared" si="0"/>
        <v>0</v>
      </c>
      <c r="Q5" s="5" t="e">
        <f t="shared" si="1"/>
        <v>#DIV/0!</v>
      </c>
      <c r="R5" s="2"/>
    </row>
    <row r="6" spans="1:18" x14ac:dyDescent="0.4">
      <c r="A6" s="1" t="s">
        <v>16</v>
      </c>
      <c r="B6" s="1" t="s">
        <v>17</v>
      </c>
      <c r="C6" s="1" t="s">
        <v>18</v>
      </c>
      <c r="D6" s="1" t="s">
        <v>19</v>
      </c>
      <c r="E6" s="1" t="s">
        <v>24</v>
      </c>
      <c r="F6" s="3"/>
      <c r="G6" s="1" t="s">
        <v>26</v>
      </c>
      <c r="H6" s="3"/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2"/>
      <c r="P6" s="4">
        <f t="shared" si="0"/>
        <v>0</v>
      </c>
      <c r="Q6" s="5" t="e">
        <f t="shared" si="1"/>
        <v>#DIV/0!</v>
      </c>
      <c r="R6" s="2"/>
    </row>
    <row r="7" spans="1:18" x14ac:dyDescent="0.4">
      <c r="A7" s="1" t="s">
        <v>16</v>
      </c>
      <c r="B7" s="1" t="s">
        <v>17</v>
      </c>
      <c r="C7" s="1" t="s">
        <v>18</v>
      </c>
      <c r="D7" s="1" t="s">
        <v>19</v>
      </c>
      <c r="E7" s="1" t="s">
        <v>27</v>
      </c>
      <c r="F7" s="3"/>
      <c r="G7" s="1" t="s">
        <v>28</v>
      </c>
      <c r="H7" s="3"/>
      <c r="I7" s="1">
        <v>0</v>
      </c>
      <c r="J7" s="1">
        <v>0</v>
      </c>
      <c r="K7" s="1">
        <v>0</v>
      </c>
      <c r="L7" s="1">
        <v>5</v>
      </c>
      <c r="M7" s="1">
        <v>0</v>
      </c>
      <c r="N7" s="1">
        <v>1.67</v>
      </c>
      <c r="O7" s="2"/>
      <c r="P7" s="4">
        <f t="shared" si="0"/>
        <v>-1.67</v>
      </c>
      <c r="Q7" s="5">
        <f t="shared" si="1"/>
        <v>-1</v>
      </c>
      <c r="R7" s="2"/>
    </row>
    <row r="8" spans="1:18" x14ac:dyDescent="0.4">
      <c r="A8" s="1" t="s">
        <v>16</v>
      </c>
      <c r="B8" s="1" t="s">
        <v>17</v>
      </c>
      <c r="C8" s="1" t="s">
        <v>18</v>
      </c>
      <c r="D8" s="1" t="s">
        <v>19</v>
      </c>
      <c r="E8" s="1" t="s">
        <v>27</v>
      </c>
      <c r="F8" s="3"/>
      <c r="G8" s="1" t="s">
        <v>29</v>
      </c>
      <c r="H8" s="3"/>
      <c r="I8" s="1">
        <v>0</v>
      </c>
      <c r="J8" s="1">
        <v>0</v>
      </c>
      <c r="K8" s="1">
        <v>0</v>
      </c>
      <c r="L8" s="1">
        <v>2</v>
      </c>
      <c r="M8" s="1">
        <v>0</v>
      </c>
      <c r="N8" s="1">
        <v>0.67</v>
      </c>
      <c r="O8" s="2"/>
      <c r="P8" s="4">
        <f t="shared" si="0"/>
        <v>-0.67</v>
      </c>
      <c r="Q8" s="5">
        <f t="shared" si="1"/>
        <v>-1</v>
      </c>
      <c r="R8" s="2"/>
    </row>
    <row r="9" spans="1:18" x14ac:dyDescent="0.4">
      <c r="A9" s="1" t="s">
        <v>16</v>
      </c>
      <c r="B9" s="1" t="s">
        <v>17</v>
      </c>
      <c r="C9" s="1" t="s">
        <v>18</v>
      </c>
      <c r="D9" s="1" t="s">
        <v>19</v>
      </c>
      <c r="E9" s="1" t="s">
        <v>27</v>
      </c>
      <c r="F9" s="3"/>
      <c r="G9" s="1" t="s">
        <v>30</v>
      </c>
      <c r="H9" s="3"/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2"/>
      <c r="P9" s="4">
        <f t="shared" si="0"/>
        <v>0</v>
      </c>
      <c r="Q9" s="5" t="e">
        <f t="shared" si="1"/>
        <v>#DIV/0!</v>
      </c>
      <c r="R9" s="2"/>
    </row>
    <row r="10" spans="1:18" x14ac:dyDescent="0.4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27</v>
      </c>
      <c r="F10" s="3"/>
      <c r="G10" s="1" t="s">
        <v>31</v>
      </c>
      <c r="H10" s="3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/>
      <c r="P10" s="4">
        <f t="shared" si="0"/>
        <v>0</v>
      </c>
      <c r="Q10" s="5" t="e">
        <f t="shared" si="1"/>
        <v>#DIV/0!</v>
      </c>
      <c r="R10" s="2"/>
    </row>
    <row r="11" spans="1:18" x14ac:dyDescent="0.4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27</v>
      </c>
      <c r="F11" s="3"/>
      <c r="G11" s="1" t="s">
        <v>32</v>
      </c>
      <c r="H11" s="3"/>
      <c r="I11" s="1">
        <v>0</v>
      </c>
      <c r="J11" s="1">
        <v>0</v>
      </c>
      <c r="K11" s="1">
        <v>0</v>
      </c>
      <c r="L11" s="1">
        <v>2</v>
      </c>
      <c r="M11" s="1">
        <v>0</v>
      </c>
      <c r="N11" s="1">
        <v>0.67</v>
      </c>
      <c r="O11" s="2"/>
      <c r="P11" s="4">
        <f t="shared" si="0"/>
        <v>-0.67</v>
      </c>
      <c r="Q11" s="5">
        <f t="shared" si="1"/>
        <v>-1</v>
      </c>
      <c r="R11" s="2"/>
    </row>
    <row r="12" spans="1:18" x14ac:dyDescent="0.4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27</v>
      </c>
      <c r="F12" s="3"/>
      <c r="G12" s="1" t="s">
        <v>33</v>
      </c>
      <c r="H12" s="3"/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2"/>
      <c r="P12" s="4">
        <f t="shared" si="0"/>
        <v>0</v>
      </c>
      <c r="Q12" s="5" t="e">
        <f t="shared" si="1"/>
        <v>#DIV/0!</v>
      </c>
      <c r="R12" s="2"/>
    </row>
    <row r="13" spans="1:18" x14ac:dyDescent="0.4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27</v>
      </c>
      <c r="F13" s="3"/>
      <c r="G13" s="1" t="s">
        <v>34</v>
      </c>
      <c r="H13" s="3"/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2"/>
      <c r="P13" s="4">
        <f t="shared" si="0"/>
        <v>0</v>
      </c>
      <c r="Q13" s="5" t="e">
        <f t="shared" si="1"/>
        <v>#DIV/0!</v>
      </c>
      <c r="R13" s="2"/>
    </row>
    <row r="14" spans="1:18" x14ac:dyDescent="0.4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27</v>
      </c>
      <c r="F14" s="3"/>
      <c r="G14" s="1" t="s">
        <v>35</v>
      </c>
      <c r="H14" s="3"/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2"/>
      <c r="P14" s="4">
        <f t="shared" si="0"/>
        <v>0</v>
      </c>
      <c r="Q14" s="5" t="e">
        <f t="shared" si="1"/>
        <v>#DIV/0!</v>
      </c>
      <c r="R14" s="2"/>
    </row>
    <row r="15" spans="1:18" x14ac:dyDescent="0.4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27</v>
      </c>
      <c r="F15" s="3"/>
      <c r="G15" s="1" t="s">
        <v>36</v>
      </c>
      <c r="H15" s="3"/>
      <c r="I15" s="1">
        <v>0</v>
      </c>
      <c r="J15" s="1">
        <v>0</v>
      </c>
      <c r="K15" s="1">
        <v>0</v>
      </c>
      <c r="L15" s="1">
        <v>2</v>
      </c>
      <c r="M15" s="1">
        <v>0</v>
      </c>
      <c r="N15" s="1">
        <v>0.67</v>
      </c>
      <c r="O15" s="2"/>
      <c r="P15" s="4">
        <f t="shared" si="0"/>
        <v>-0.67</v>
      </c>
      <c r="Q15" s="5">
        <f t="shared" si="1"/>
        <v>-1</v>
      </c>
      <c r="R15" s="2"/>
    </row>
    <row r="16" spans="1:18" x14ac:dyDescent="0.4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27</v>
      </c>
      <c r="F16" s="3"/>
      <c r="G16" s="1" t="s">
        <v>37</v>
      </c>
      <c r="H16" s="3"/>
      <c r="I16" s="1">
        <v>0</v>
      </c>
      <c r="J16" s="1">
        <v>0</v>
      </c>
      <c r="K16" s="1">
        <v>9</v>
      </c>
      <c r="L16" s="1">
        <v>2</v>
      </c>
      <c r="M16" s="1">
        <v>2</v>
      </c>
      <c r="N16" s="1">
        <v>4.33</v>
      </c>
      <c r="O16" s="2"/>
      <c r="P16" s="4">
        <f t="shared" si="0"/>
        <v>-4.33</v>
      </c>
      <c r="Q16" s="5">
        <f t="shared" si="1"/>
        <v>-1</v>
      </c>
      <c r="R16" s="2"/>
    </row>
    <row r="17" spans="1:18" x14ac:dyDescent="0.4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27</v>
      </c>
      <c r="F17" s="3"/>
      <c r="G17" s="1" t="s">
        <v>38</v>
      </c>
      <c r="H17" s="3"/>
      <c r="I17" s="1">
        <v>0</v>
      </c>
      <c r="J17" s="1">
        <v>0</v>
      </c>
      <c r="K17" s="1">
        <v>2</v>
      </c>
      <c r="L17" s="1">
        <v>1</v>
      </c>
      <c r="M17" s="1">
        <v>1</v>
      </c>
      <c r="N17" s="1">
        <v>1.33</v>
      </c>
      <c r="O17" s="2"/>
      <c r="P17" s="4">
        <f t="shared" si="0"/>
        <v>-1.33</v>
      </c>
      <c r="Q17" s="5">
        <f t="shared" si="1"/>
        <v>-1</v>
      </c>
      <c r="R17" s="2"/>
    </row>
    <row r="18" spans="1:18" x14ac:dyDescent="0.4">
      <c r="P18" s="6" t="s">
        <v>41</v>
      </c>
      <c r="Q18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PONGSAK PHAOTIP</dc:creator>
  <cp:lastModifiedBy>Mongkontam Niponpittayakorn</cp:lastModifiedBy>
  <dcterms:created xsi:type="dcterms:W3CDTF">2026-10-02T03:33:29Z</dcterms:created>
  <dcterms:modified xsi:type="dcterms:W3CDTF">2026-10-02T04:14:57Z</dcterms:modified>
</cp:coreProperties>
</file>